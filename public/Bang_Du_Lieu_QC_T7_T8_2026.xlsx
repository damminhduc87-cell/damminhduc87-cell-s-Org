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u_Lieu_QC" sheetId="1" state="visible" r:id="rId1"/>
    <sheet xmlns:r="http://schemas.openxmlformats.org/officeDocument/2006/relationships" name="Thong_Ke_Tong_Hop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0.00&quot;%&quot;"/>
  </numFmts>
  <fonts count="11">
    <font>
      <name val="Calibri"/>
      <family val="2"/>
      <color theme="1"/>
      <sz val="12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002060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0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2" fontId="4" fillId="0" borderId="2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2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4" fillId="4" borderId="2" pivotButton="0" quotePrefix="0" xfId="0"/>
    <xf numFmtId="0" fontId="4" fillId="4" borderId="2" applyAlignment="1" pivotButton="0" quotePrefix="0" xfId="0">
      <alignment horizontal="left" vertical="center"/>
    </xf>
    <xf numFmtId="2" fontId="4" fillId="4" borderId="2" applyAlignment="1" pivotButton="0" quotePrefix="0" xfId="0">
      <alignment horizontal="right" vertical="center"/>
    </xf>
    <xf numFmtId="0" fontId="4" fillId="4" borderId="3" pivotButton="0" quotePrefix="0" xfId="0"/>
    <xf numFmtId="0" fontId="4" fillId="4" borderId="3" applyAlignment="1" pivotButton="0" quotePrefix="0" xfId="0">
      <alignment horizontal="left" vertical="center"/>
    </xf>
    <xf numFmtId="165" fontId="4" fillId="4" borderId="3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2" fontId="9" fillId="0" borderId="2" applyAlignment="1" pivotButton="0" quotePrefix="0" xfId="0">
      <alignment horizontal="center" vertical="center" wrapText="1"/>
    </xf>
    <xf numFmtId="165" fontId="10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5" customWidth="1" min="3" max="3"/>
    <col width="23" customWidth="1" min="4" max="4"/>
    <col width="22" customWidth="1" min="5" max="5"/>
    <col width="20" customWidth="1" min="6" max="6"/>
    <col width="28" customWidth="1" min="7" max="7"/>
    <col width="26" customWidth="1" min="8" max="8"/>
    <col width="38" customWidth="1" min="9" max="9"/>
    <col width="35" customWidth="1" min="10" max="10"/>
    <col width="18" customWidth="1" min="11" max="11"/>
    <col width="17" customWidth="1" min="12" max="12"/>
    <col width="18" customWidth="1" min="13" max="13"/>
    <col width="19" customWidth="1" min="14" max="14"/>
    <col width="11" customWidth="1" min="15" max="15"/>
    <col width="11" customWidth="1" min="16" max="16"/>
    <col width="17" customWidth="1" min="17" max="17"/>
    <col width="11" customWidth="1" min="18" max="18"/>
    <col width="11" customWidth="1" min="19" max="19"/>
    <col width="16" customWidth="1" min="20" max="20"/>
    <col width="11" customWidth="1" min="21" max="21"/>
    <col width="11" customWidth="1" min="22" max="22"/>
    <col width="14" customWidth="1" min="23" max="23"/>
    <col width="11" customWidth="1" min="24" max="24"/>
    <col width="11" customWidth="1" min="25" max="25"/>
    <col width="21" customWidth="1" min="26" max="26"/>
    <col width="11" customWidth="1" min="27" max="27"/>
    <col width="11" customWidth="1" min="28" max="28"/>
    <col width="19" customWidth="1" min="29" max="29"/>
    <col width="11" customWidth="1" min="30" max="30"/>
    <col width="11" customWidth="1" min="31" max="31"/>
  </cols>
  <sheetData>
    <row r="1">
      <c r="A1" s="1" t="inlineStr">
        <is>
          <t>STT</t>
        </is>
      </c>
      <c r="B1" s="1" t="inlineStr">
        <is>
          <t>Ngày chạy QC</t>
        </is>
      </c>
      <c r="C1" s="1" t="inlineStr">
        <is>
          <t>Glucose Mức 1 (Normal)</t>
        </is>
      </c>
      <c r="D1" s="1" t="inlineStr">
        <is>
          <t>Glucose Mức 2 (High)</t>
        </is>
      </c>
      <c r="E1" s="1" t="inlineStr">
        <is>
          <t>Urea Mức 1 (Normal)</t>
        </is>
      </c>
      <c r="F1" s="1" t="inlineStr">
        <is>
          <t>Urea Mức 2 (High)</t>
        </is>
      </c>
      <c r="G1" s="1" t="inlineStr">
        <is>
          <t>Creatinine Mức 1 (Normal)</t>
        </is>
      </c>
      <c r="H1" s="1" t="inlineStr">
        <is>
          <t>Creatinine Mức 2 (High)</t>
        </is>
      </c>
      <c r="I1" s="1" t="inlineStr">
        <is>
          <t>Trạng thái Westgard</t>
        </is>
      </c>
      <c r="J1" s="1" t="inlineStr">
        <is>
          <t>Hành động CAPA</t>
        </is>
      </c>
      <c r="K1" s="1" t="inlineStr">
        <is>
          <t>Người thực hiện</t>
        </is>
      </c>
      <c r="L1" s="1" t="inlineStr">
        <is>
          <t>Thiết bị</t>
        </is>
      </c>
      <c r="N1" s="2" t="inlineStr">
        <is>
          <t>Glucose – Normal</t>
        </is>
      </c>
      <c r="O1" s="3" t="n"/>
      <c r="P1" s="3" t="n"/>
      <c r="Q1" s="2" t="inlineStr">
        <is>
          <t>Glucose – High</t>
        </is>
      </c>
      <c r="R1" s="3" t="n"/>
      <c r="S1" s="3" t="n"/>
      <c r="T1" s="2" t="inlineStr">
        <is>
          <t>Urea – Normal</t>
        </is>
      </c>
      <c r="U1" s="3" t="n"/>
      <c r="V1" s="3" t="n"/>
      <c r="W1" s="2" t="inlineStr">
        <is>
          <t>Urea – High</t>
        </is>
      </c>
      <c r="X1" s="3" t="n"/>
      <c r="Y1" s="3" t="n"/>
      <c r="Z1" s="2" t="inlineStr">
        <is>
          <t>Creatinin – Normal</t>
        </is>
      </c>
      <c r="AA1" s="3" t="n"/>
      <c r="AB1" s="3" t="n"/>
      <c r="AC1" s="2" t="inlineStr">
        <is>
          <t>Creatinin – High</t>
        </is>
      </c>
      <c r="AD1" s="3" t="n"/>
      <c r="AE1" s="3" t="n"/>
    </row>
    <row r="2">
      <c r="A2" s="4" t="n">
        <v>1</v>
      </c>
      <c r="B2" s="4" t="inlineStr">
        <is>
          <t>01/07/2026</t>
        </is>
      </c>
      <c r="C2" s="5" t="n">
        <v>5.3</v>
      </c>
      <c r="D2" s="5" t="n">
        <v>17.54</v>
      </c>
      <c r="E2" s="5" t="n">
        <v>7.2</v>
      </c>
      <c r="F2" s="5" t="n">
        <v>24.6</v>
      </c>
      <c r="G2" s="6" t="n">
        <v>95</v>
      </c>
      <c r="H2" s="6" t="n">
        <v>311</v>
      </c>
      <c r="I2" s="7" t="inlineStr">
        <is>
          <t>Hợp lệ (In-control)</t>
        </is>
      </c>
      <c r="J2" s="7" t="inlineStr">
        <is>
          <t>Không cần can thiệp</t>
        </is>
      </c>
      <c r="K2" s="7" t="inlineStr">
        <is>
          <t>Đàm Minh Đức</t>
        </is>
      </c>
      <c r="L2" s="7" t="inlineStr">
        <is>
          <t>Máy Hóa sinh 1</t>
        </is>
      </c>
      <c r="N2" s="2" t="inlineStr">
        <is>
          <t>Mean</t>
        </is>
      </c>
      <c r="O2" s="2" t="inlineStr">
        <is>
          <t>SD</t>
        </is>
      </c>
      <c r="P2" s="2" t="inlineStr">
        <is>
          <t>CV%</t>
        </is>
      </c>
      <c r="Q2" s="2" t="inlineStr">
        <is>
          <t>Mean</t>
        </is>
      </c>
      <c r="R2" s="2" t="inlineStr">
        <is>
          <t>SD</t>
        </is>
      </c>
      <c r="S2" s="2" t="inlineStr">
        <is>
          <t>CV%</t>
        </is>
      </c>
      <c r="T2" s="2" t="inlineStr">
        <is>
          <t>Mean</t>
        </is>
      </c>
      <c r="U2" s="2" t="inlineStr">
        <is>
          <t>SD</t>
        </is>
      </c>
      <c r="V2" s="2" t="inlineStr">
        <is>
          <t>CV%</t>
        </is>
      </c>
      <c r="W2" s="2" t="inlineStr">
        <is>
          <t>Mean</t>
        </is>
      </c>
      <c r="X2" s="2" t="inlineStr">
        <is>
          <t>SD</t>
        </is>
      </c>
      <c r="Y2" s="2" t="inlineStr">
        <is>
          <t>CV%</t>
        </is>
      </c>
      <c r="Z2" s="2" t="inlineStr">
        <is>
          <t>Mean</t>
        </is>
      </c>
      <c r="AA2" s="2" t="inlineStr">
        <is>
          <t>SD</t>
        </is>
      </c>
      <c r="AB2" s="2" t="inlineStr">
        <is>
          <t>CV%</t>
        </is>
      </c>
      <c r="AC2" s="2" t="inlineStr">
        <is>
          <t>Mean</t>
        </is>
      </c>
      <c r="AD2" s="2" t="inlineStr">
        <is>
          <t>SD</t>
        </is>
      </c>
      <c r="AE2" s="2" t="inlineStr">
        <is>
          <t>CV%</t>
        </is>
      </c>
    </row>
    <row r="3">
      <c r="A3" s="4" t="n">
        <v>2</v>
      </c>
      <c r="B3" s="4" t="inlineStr">
        <is>
          <t>02/07/2026</t>
        </is>
      </c>
      <c r="C3" s="5" t="n">
        <v>5.58</v>
      </c>
      <c r="D3" s="5" t="n">
        <v>17.51</v>
      </c>
      <c r="E3" s="5" t="n">
        <v>7.3</v>
      </c>
      <c r="F3" s="5" t="n">
        <v>22.3</v>
      </c>
      <c r="G3" s="6" t="n">
        <v>86</v>
      </c>
      <c r="H3" s="6" t="n">
        <v>349</v>
      </c>
      <c r="I3" s="7" t="inlineStr">
        <is>
          <t>Hợp lệ (In-control)</t>
        </is>
      </c>
      <c r="J3" s="7" t="inlineStr">
        <is>
          <t>Không cần can thiệp</t>
        </is>
      </c>
      <c r="K3" s="7" t="inlineStr">
        <is>
          <t>Đàm Minh Đức</t>
        </is>
      </c>
      <c r="L3" s="7" t="inlineStr">
        <is>
          <t>Máy Hóa sinh 1</t>
        </is>
      </c>
      <c r="M3" s="8" t="inlineStr">
        <is>
          <t>Thống kê thực tế</t>
        </is>
      </c>
      <c r="N3" s="9">
        <f>AVERAGE(C2:C45)</f>
        <v/>
      </c>
      <c r="O3" s="9">
        <f>STDEV.S(C2:C45)</f>
        <v/>
      </c>
      <c r="P3" s="10">
        <f>(O3/N3)*100</f>
        <v/>
      </c>
      <c r="Q3" s="9">
        <f>AVERAGE(D2:D45)</f>
        <v/>
      </c>
      <c r="R3" s="9">
        <f>STDEV.S(D2:D45)</f>
        <v/>
      </c>
      <c r="S3" s="10">
        <f>(R3/Q3)*100</f>
        <v/>
      </c>
      <c r="T3" s="9">
        <f>AVERAGE(E2:E45)</f>
        <v/>
      </c>
      <c r="U3" s="9">
        <f>STDEV.S(E2:E45)</f>
        <v/>
      </c>
      <c r="V3" s="10">
        <f>(U3/T3)*100</f>
        <v/>
      </c>
      <c r="W3" s="9">
        <f>AVERAGE(F2:F45)</f>
        <v/>
      </c>
      <c r="X3" s="9">
        <f>STDEV.S(F2:F45)</f>
        <v/>
      </c>
      <c r="Y3" s="10">
        <f>(X3/W3)*100</f>
        <v/>
      </c>
      <c r="Z3" s="9">
        <f>AVERAGE(G2:G45)</f>
        <v/>
      </c>
      <c r="AA3" s="9">
        <f>STDEV.S(G2:G45)</f>
        <v/>
      </c>
      <c r="AB3" s="10">
        <f>(AA3/Z3)*100</f>
        <v/>
      </c>
      <c r="AC3" s="9">
        <f>AVERAGE(H2:H45)</f>
        <v/>
      </c>
      <c r="AD3" s="9">
        <f>STDEV.S(H2:H45)</f>
        <v/>
      </c>
      <c r="AE3" s="10">
        <f>(AD3/AC3)*100</f>
        <v/>
      </c>
    </row>
    <row r="4">
      <c r="A4" s="4" t="n">
        <v>3</v>
      </c>
      <c r="B4" s="4" t="inlineStr">
        <is>
          <t>03/07/2026</t>
        </is>
      </c>
      <c r="C4" s="5" t="n">
        <v>5.54</v>
      </c>
      <c r="D4" s="5" t="n">
        <v>17.64</v>
      </c>
      <c r="E4" s="5" t="n">
        <v>7.18</v>
      </c>
      <c r="F4" s="5" t="n">
        <v>23.12</v>
      </c>
      <c r="G4" s="6" t="n">
        <v>97.09999999999999</v>
      </c>
      <c r="H4" s="6" t="n">
        <v>350.6</v>
      </c>
      <c r="I4" s="7" t="inlineStr">
        <is>
          <t>Hợp lệ (In-control)</t>
        </is>
      </c>
      <c r="J4" s="7" t="inlineStr">
        <is>
          <t>Không cần can thiệp</t>
        </is>
      </c>
      <c r="K4" s="7" t="inlineStr">
        <is>
          <t>Đàm Minh Đức</t>
        </is>
      </c>
      <c r="L4" s="7" t="inlineStr">
        <is>
          <t>Máy Hóa sinh 1</t>
        </is>
      </c>
    </row>
    <row r="5">
      <c r="A5" s="4" t="n">
        <v>4</v>
      </c>
      <c r="B5" s="4" t="inlineStr">
        <is>
          <t>06/07/2026</t>
        </is>
      </c>
      <c r="C5" s="5" t="n">
        <v>5.49</v>
      </c>
      <c r="D5" s="5" t="n">
        <v>18</v>
      </c>
      <c r="E5" s="5" t="n">
        <v>7.5</v>
      </c>
      <c r="F5" s="5" t="n">
        <v>24.6</v>
      </c>
      <c r="G5" s="6" t="n">
        <v>87</v>
      </c>
      <c r="H5" s="6" t="n">
        <v>351</v>
      </c>
      <c r="I5" s="7" t="inlineStr">
        <is>
          <t>Hợp lệ (In-control)</t>
        </is>
      </c>
      <c r="J5" s="7" t="inlineStr">
        <is>
          <t>Không cần can thiệp</t>
        </is>
      </c>
      <c r="K5" s="7" t="inlineStr">
        <is>
          <t>Đàm Minh Đức</t>
        </is>
      </c>
      <c r="L5" s="7" t="inlineStr">
        <is>
          <t>Máy Hóa sinh 1</t>
        </is>
      </c>
    </row>
    <row r="6">
      <c r="A6" s="4" t="n">
        <v>5</v>
      </c>
      <c r="B6" s="4" t="inlineStr">
        <is>
          <t>07/07/2026</t>
        </is>
      </c>
      <c r="C6" s="5" t="n">
        <v>5.48</v>
      </c>
      <c r="D6" s="5" t="n">
        <v>17.1</v>
      </c>
      <c r="E6" s="5" t="n">
        <v>7</v>
      </c>
      <c r="F6" s="5" t="n">
        <v>21.9</v>
      </c>
      <c r="G6" s="6" t="n">
        <v>92</v>
      </c>
      <c r="H6" s="6" t="n">
        <v>338</v>
      </c>
      <c r="I6" s="7" t="inlineStr">
        <is>
          <t>Hợp lệ (In-control)</t>
        </is>
      </c>
      <c r="J6" s="7" t="inlineStr">
        <is>
          <t>Không cần can thiệp</t>
        </is>
      </c>
      <c r="K6" s="7" t="inlineStr">
        <is>
          <t>Đàm Minh Đức</t>
        </is>
      </c>
      <c r="L6" s="7" t="inlineStr">
        <is>
          <t>Máy Hóa sinh 1</t>
        </is>
      </c>
    </row>
    <row r="7">
      <c r="A7" s="4" t="n">
        <v>6</v>
      </c>
      <c r="B7" s="4" t="inlineStr">
        <is>
          <t>08/07/2026</t>
        </is>
      </c>
      <c r="C7" s="5" t="n">
        <v>5.57</v>
      </c>
      <c r="D7" s="5" t="n">
        <v>17.6</v>
      </c>
      <c r="E7" s="5" t="n">
        <v>6.8</v>
      </c>
      <c r="F7" s="5" t="n">
        <v>21.6</v>
      </c>
      <c r="G7" s="6" t="n">
        <v>96</v>
      </c>
      <c r="H7" s="6" t="n">
        <v>360</v>
      </c>
      <c r="I7" s="7" t="inlineStr">
        <is>
          <t>Hợp lệ (In-control)</t>
        </is>
      </c>
      <c r="J7" s="7" t="inlineStr">
        <is>
          <t>Không cần can thiệp</t>
        </is>
      </c>
      <c r="K7" s="7" t="inlineStr">
        <is>
          <t>Đàm Minh Đức</t>
        </is>
      </c>
      <c r="L7" s="7" t="inlineStr">
        <is>
          <t>Máy Hóa sinh 1</t>
        </is>
      </c>
    </row>
    <row r="8">
      <c r="A8" s="4" t="n">
        <v>7</v>
      </c>
      <c r="B8" s="4" t="inlineStr">
        <is>
          <t>09/07/2026</t>
        </is>
      </c>
      <c r="C8" s="5" t="n">
        <v>5.45</v>
      </c>
      <c r="D8" s="5" t="n">
        <v>16.5</v>
      </c>
      <c r="E8" s="5" t="n">
        <v>7.3</v>
      </c>
      <c r="F8" s="5" t="n">
        <v>20.6</v>
      </c>
      <c r="G8" s="6" t="n">
        <v>101</v>
      </c>
      <c r="H8" s="6" t="n">
        <v>342</v>
      </c>
      <c r="I8" s="7" t="inlineStr">
        <is>
          <t>Hợp lệ (In-control)</t>
        </is>
      </c>
      <c r="J8" s="7" t="inlineStr">
        <is>
          <t>Không cần can thiệp</t>
        </is>
      </c>
      <c r="K8" s="7" t="inlineStr">
        <is>
          <t>Đàm Minh Đức</t>
        </is>
      </c>
      <c r="L8" s="7" t="inlineStr">
        <is>
          <t>Máy Hóa sinh 1</t>
        </is>
      </c>
    </row>
    <row r="9">
      <c r="A9" s="4" t="n">
        <v>8</v>
      </c>
      <c r="B9" s="4" t="inlineStr">
        <is>
          <t>10/07/2026</t>
        </is>
      </c>
      <c r="C9" s="5" t="n">
        <v>5.53</v>
      </c>
      <c r="D9" s="5" t="n">
        <v>17.45</v>
      </c>
      <c r="E9" s="5" t="n">
        <v>7.3</v>
      </c>
      <c r="F9" s="5" t="n">
        <v>23.1</v>
      </c>
      <c r="G9" s="6" t="n">
        <v>94</v>
      </c>
      <c r="H9" s="6" t="n">
        <v>335</v>
      </c>
      <c r="I9" s="7" t="inlineStr">
        <is>
          <t>Hợp lệ (In-control)</t>
        </is>
      </c>
      <c r="J9" s="7" t="inlineStr">
        <is>
          <t>Không cần can thiệp</t>
        </is>
      </c>
      <c r="K9" s="7" t="inlineStr">
        <is>
          <t>Đàm Minh Đức</t>
        </is>
      </c>
      <c r="L9" s="7" t="inlineStr">
        <is>
          <t>Máy Hóa sinh 1</t>
        </is>
      </c>
    </row>
    <row r="10">
      <c r="A10" s="4" t="n">
        <v>9</v>
      </c>
      <c r="B10" s="4" t="inlineStr">
        <is>
          <t>13/07/2026</t>
        </is>
      </c>
      <c r="C10" s="5" t="n">
        <v>5.43</v>
      </c>
      <c r="D10" s="5" t="n">
        <v>17.78</v>
      </c>
      <c r="E10" s="5" t="n">
        <v>7</v>
      </c>
      <c r="F10" s="5" t="n">
        <v>23.7</v>
      </c>
      <c r="G10" s="6" t="n">
        <v>95.7</v>
      </c>
      <c r="H10" s="6" t="n">
        <v>386</v>
      </c>
      <c r="I10" s="7" t="inlineStr">
        <is>
          <t>Hợp lệ (In-control)</t>
        </is>
      </c>
      <c r="J10" s="7" t="inlineStr">
        <is>
          <t>Không cần can thiệp</t>
        </is>
      </c>
      <c r="K10" s="7" t="inlineStr">
        <is>
          <t>Đàm Minh Đức</t>
        </is>
      </c>
      <c r="L10" s="7" t="inlineStr">
        <is>
          <t>Máy Hóa sinh 1</t>
        </is>
      </c>
    </row>
    <row r="11">
      <c r="A11" s="4" t="n">
        <v>10</v>
      </c>
      <c r="B11" s="4" t="inlineStr">
        <is>
          <t>14/07/2026</t>
        </is>
      </c>
      <c r="C11" s="5" t="n">
        <v>5.56</v>
      </c>
      <c r="D11" s="5" t="n">
        <v>17.65</v>
      </c>
      <c r="E11" s="5" t="n">
        <v>6.8</v>
      </c>
      <c r="F11" s="5" t="n">
        <v>24.2</v>
      </c>
      <c r="G11" s="6" t="n">
        <v>98</v>
      </c>
      <c r="H11" s="6" t="n">
        <v>355</v>
      </c>
      <c r="I11" s="7" t="inlineStr">
        <is>
          <t>Hợp lệ (In-control)</t>
        </is>
      </c>
      <c r="J11" s="7" t="inlineStr">
        <is>
          <t>Không cần can thiệp</t>
        </is>
      </c>
      <c r="K11" s="7" t="inlineStr">
        <is>
          <t>Đàm Minh Đức</t>
        </is>
      </c>
      <c r="L11" s="7" t="inlineStr">
        <is>
          <t>Máy Hóa sinh 1</t>
        </is>
      </c>
    </row>
    <row r="12">
      <c r="A12" s="4" t="n">
        <v>11</v>
      </c>
      <c r="B12" s="4" t="inlineStr">
        <is>
          <t>15/07/2026</t>
        </is>
      </c>
      <c r="C12" s="5" t="n">
        <v>5.58</v>
      </c>
      <c r="D12" s="5" t="n">
        <v>17.61</v>
      </c>
      <c r="E12" s="5" t="n">
        <v>7.25</v>
      </c>
      <c r="F12" s="5" t="n">
        <v>22.95</v>
      </c>
      <c r="G12" s="6" t="n">
        <v>93.90000000000001</v>
      </c>
      <c r="H12" s="6" t="n">
        <v>360.2</v>
      </c>
      <c r="I12" s="7" t="inlineStr">
        <is>
          <t>Hợp lệ (In-control)</t>
        </is>
      </c>
      <c r="J12" s="7" t="inlineStr">
        <is>
          <t>Không cần can thiệp</t>
        </is>
      </c>
      <c r="K12" s="7" t="inlineStr">
        <is>
          <t>Đàm Minh Đức</t>
        </is>
      </c>
      <c r="L12" s="7" t="inlineStr">
        <is>
          <t>Máy Hóa sinh 1</t>
        </is>
      </c>
    </row>
    <row r="13">
      <c r="A13" s="11" t="n">
        <v>12</v>
      </c>
      <c r="B13" s="11" t="inlineStr">
        <is>
          <t>16/07/2026</t>
        </is>
      </c>
      <c r="C13" s="12" t="n">
        <v>5.47</v>
      </c>
      <c r="D13" s="12" t="n">
        <v>18.65</v>
      </c>
      <c r="E13" s="12" t="n">
        <v>7</v>
      </c>
      <c r="F13" s="12" t="n">
        <v>21.9</v>
      </c>
      <c r="G13" s="13" t="n">
        <v>90.7</v>
      </c>
      <c r="H13" s="13" t="n">
        <v>371</v>
      </c>
      <c r="I13" s="14" t="inlineStr">
        <is>
          <t>Vi phạm: GLUCOSE (High): Vi phạm (1-3s)</t>
        </is>
      </c>
      <c r="J13" s="14" t="inlineStr">
        <is>
          <t>Lập biên bản CAPA theo QĐ 2429</t>
        </is>
      </c>
      <c r="K13" s="15" t="inlineStr">
        <is>
          <t>Đàm Minh Đức</t>
        </is>
      </c>
      <c r="L13" s="15" t="inlineStr">
        <is>
          <t>Máy Hóa sinh 1</t>
        </is>
      </c>
    </row>
    <row r="14">
      <c r="A14" s="4" t="n">
        <v>13</v>
      </c>
      <c r="B14" s="4" t="inlineStr">
        <is>
          <t>17/07/2026</t>
        </is>
      </c>
      <c r="C14" s="5" t="n">
        <v>5.6</v>
      </c>
      <c r="D14" s="5" t="n">
        <v>17.8</v>
      </c>
      <c r="E14" s="5" t="n">
        <v>7.21</v>
      </c>
      <c r="F14" s="5" t="n">
        <v>21.8</v>
      </c>
      <c r="G14" s="6" t="n">
        <v>97.3</v>
      </c>
      <c r="H14" s="6" t="n">
        <v>357.3</v>
      </c>
      <c r="I14" s="7" t="inlineStr">
        <is>
          <t>Hợp lệ (In-control)</t>
        </is>
      </c>
      <c r="J14" s="7" t="inlineStr">
        <is>
          <t>Không cần can thiệp</t>
        </is>
      </c>
      <c r="K14" s="7" t="inlineStr">
        <is>
          <t>Đàm Minh Đức</t>
        </is>
      </c>
      <c r="L14" s="7" t="inlineStr">
        <is>
          <t>Máy Hóa sinh 1</t>
        </is>
      </c>
    </row>
    <row r="15">
      <c r="A15" s="4" t="n">
        <v>14</v>
      </c>
      <c r="B15" s="4" t="inlineStr">
        <is>
          <t>20/07/2026</t>
        </is>
      </c>
      <c r="C15" s="5" t="n">
        <v>5.7</v>
      </c>
      <c r="D15" s="5" t="n">
        <v>18.2</v>
      </c>
      <c r="E15" s="5" t="n">
        <v>7.08</v>
      </c>
      <c r="F15" s="5" t="n">
        <v>25</v>
      </c>
      <c r="G15" s="6" t="n">
        <v>94.40000000000001</v>
      </c>
      <c r="H15" s="6" t="n">
        <v>374.5</v>
      </c>
      <c r="I15" s="7" t="inlineStr">
        <is>
          <t>Hợp lệ (In-control)</t>
        </is>
      </c>
      <c r="J15" s="7" t="inlineStr">
        <is>
          <t>Không cần can thiệp</t>
        </is>
      </c>
      <c r="K15" s="7" t="inlineStr">
        <is>
          <t>Đàm Minh Đức</t>
        </is>
      </c>
      <c r="L15" s="7" t="inlineStr">
        <is>
          <t>Máy Hóa sinh 1</t>
        </is>
      </c>
    </row>
    <row r="16">
      <c r="A16" s="4" t="n">
        <v>15</v>
      </c>
      <c r="B16" s="4" t="inlineStr">
        <is>
          <t>21/07/2026</t>
        </is>
      </c>
      <c r="C16" s="5" t="n">
        <v>5.38</v>
      </c>
      <c r="D16" s="5" t="n">
        <v>17.29</v>
      </c>
      <c r="E16" s="5" t="n">
        <v>7</v>
      </c>
      <c r="F16" s="5" t="n">
        <v>23.4</v>
      </c>
      <c r="G16" s="6" t="n">
        <v>96</v>
      </c>
      <c r="H16" s="6" t="n">
        <v>349</v>
      </c>
      <c r="I16" s="7" t="inlineStr">
        <is>
          <t>Hợp lệ (In-control)</t>
        </is>
      </c>
      <c r="J16" s="7" t="inlineStr">
        <is>
          <t>Không cần can thiệp</t>
        </is>
      </c>
      <c r="K16" s="7" t="inlineStr">
        <is>
          <t>Đàm Minh Đức</t>
        </is>
      </c>
      <c r="L16" s="7" t="inlineStr">
        <is>
          <t>Máy Hóa sinh 1</t>
        </is>
      </c>
    </row>
    <row r="17">
      <c r="A17" s="4" t="n">
        <v>16</v>
      </c>
      <c r="B17" s="4" t="inlineStr">
        <is>
          <t>22/07/2026</t>
        </is>
      </c>
      <c r="C17" s="5" t="n">
        <v>5.59</v>
      </c>
      <c r="D17" s="5" t="n">
        <v>17.55</v>
      </c>
      <c r="E17" s="5" t="n">
        <v>7.13</v>
      </c>
      <c r="F17" s="5" t="n">
        <v>21.8</v>
      </c>
      <c r="G17" s="6" t="n">
        <v>98</v>
      </c>
      <c r="H17" s="6" t="n">
        <v>348</v>
      </c>
      <c r="I17" s="7" t="inlineStr">
        <is>
          <t>Hợp lệ (In-control)</t>
        </is>
      </c>
      <c r="J17" s="7" t="inlineStr">
        <is>
          <t>Không cần can thiệp</t>
        </is>
      </c>
      <c r="K17" s="7" t="inlineStr">
        <is>
          <t>Đàm Minh Đức</t>
        </is>
      </c>
      <c r="L17" s="7" t="inlineStr">
        <is>
          <t>Máy Hóa sinh 1</t>
        </is>
      </c>
    </row>
    <row r="18">
      <c r="A18" s="4" t="n">
        <v>17</v>
      </c>
      <c r="B18" s="4" t="inlineStr">
        <is>
          <t>23/07/2026</t>
        </is>
      </c>
      <c r="C18" s="5" t="n">
        <v>5.7</v>
      </c>
      <c r="D18" s="5" t="n">
        <v>17.14</v>
      </c>
      <c r="E18" s="5" t="n">
        <v>7.2</v>
      </c>
      <c r="F18" s="5" t="n">
        <v>20.6</v>
      </c>
      <c r="G18" s="6" t="n">
        <v>90</v>
      </c>
      <c r="H18" s="6" t="n">
        <v>326</v>
      </c>
      <c r="I18" s="7" t="inlineStr">
        <is>
          <t>Hợp lệ (In-control)</t>
        </is>
      </c>
      <c r="J18" s="7" t="inlineStr">
        <is>
          <t>Không cần can thiệp</t>
        </is>
      </c>
      <c r="K18" s="7" t="inlineStr">
        <is>
          <t>Đàm Minh Đức</t>
        </is>
      </c>
      <c r="L18" s="7" t="inlineStr">
        <is>
          <t>Máy Hóa sinh 1</t>
        </is>
      </c>
    </row>
    <row r="19">
      <c r="A19" s="4" t="n">
        <v>18</v>
      </c>
      <c r="B19" s="4" t="inlineStr">
        <is>
          <t>24/07/2026</t>
        </is>
      </c>
      <c r="C19" s="5" t="n">
        <v>5.63</v>
      </c>
      <c r="D19" s="5" t="n">
        <v>17.6</v>
      </c>
      <c r="E19" s="5" t="n">
        <v>6.9</v>
      </c>
      <c r="F19" s="5" t="n">
        <v>22.1</v>
      </c>
      <c r="G19" s="6" t="n">
        <v>98</v>
      </c>
      <c r="H19" s="6" t="n">
        <v>342</v>
      </c>
      <c r="I19" s="7" t="inlineStr">
        <is>
          <t>Hợp lệ (In-control)</t>
        </is>
      </c>
      <c r="J19" s="7" t="inlineStr">
        <is>
          <t>Không cần can thiệp</t>
        </is>
      </c>
      <c r="K19" s="7" t="inlineStr">
        <is>
          <t>Đàm Minh Đức</t>
        </is>
      </c>
      <c r="L19" s="7" t="inlineStr">
        <is>
          <t>Máy Hóa sinh 1</t>
        </is>
      </c>
    </row>
    <row r="20">
      <c r="A20" s="4" t="n">
        <v>19</v>
      </c>
      <c r="B20" s="4" t="inlineStr">
        <is>
          <t>27/07/2026</t>
        </is>
      </c>
      <c r="C20" s="5" t="n">
        <v>5.7</v>
      </c>
      <c r="D20" s="5" t="n">
        <v>18.5</v>
      </c>
      <c r="E20" s="5" t="n">
        <v>7.3</v>
      </c>
      <c r="F20" s="5" t="n">
        <v>24.5</v>
      </c>
      <c r="G20" s="6" t="n">
        <v>93</v>
      </c>
      <c r="H20" s="6" t="n">
        <v>326</v>
      </c>
      <c r="I20" s="7" t="inlineStr">
        <is>
          <t>Hợp lệ (In-control)</t>
        </is>
      </c>
      <c r="J20" s="7" t="inlineStr">
        <is>
          <t>Không cần can thiệp</t>
        </is>
      </c>
      <c r="K20" s="7" t="inlineStr">
        <is>
          <t>Đàm Minh Đức</t>
        </is>
      </c>
      <c r="L20" s="7" t="inlineStr">
        <is>
          <t>Máy Hóa sinh 1</t>
        </is>
      </c>
    </row>
    <row r="21">
      <c r="A21" s="4" t="n">
        <v>20</v>
      </c>
      <c r="B21" s="4" t="inlineStr">
        <is>
          <t>28/07/2026</t>
        </is>
      </c>
      <c r="C21" s="5" t="n">
        <v>5.48</v>
      </c>
      <c r="D21" s="5" t="n">
        <v>17.81</v>
      </c>
      <c r="E21" s="5" t="n">
        <v>6.5</v>
      </c>
      <c r="F21" s="5" t="n">
        <v>22.3</v>
      </c>
      <c r="G21" s="6" t="n">
        <v>94.3</v>
      </c>
      <c r="H21" s="6" t="n">
        <v>368</v>
      </c>
      <c r="I21" s="7" t="inlineStr">
        <is>
          <t>Hợp lệ (In-control)</t>
        </is>
      </c>
      <c r="J21" s="7" t="inlineStr">
        <is>
          <t>Không cần can thiệp</t>
        </is>
      </c>
      <c r="K21" s="7" t="inlineStr">
        <is>
          <t>Đàm Minh Đức</t>
        </is>
      </c>
      <c r="L21" s="7" t="inlineStr">
        <is>
          <t>Máy Hóa sinh 1</t>
        </is>
      </c>
    </row>
    <row r="22">
      <c r="A22" s="4" t="n">
        <v>21</v>
      </c>
      <c r="B22" s="4" t="inlineStr">
        <is>
          <t>29/07/2026</t>
        </is>
      </c>
      <c r="C22" s="5" t="n">
        <v>5.59</v>
      </c>
      <c r="D22" s="5" t="n">
        <v>17.33</v>
      </c>
      <c r="E22" s="5" t="n">
        <v>7.3</v>
      </c>
      <c r="F22" s="5" t="n">
        <v>21.5</v>
      </c>
      <c r="G22" s="6" t="n">
        <v>90</v>
      </c>
      <c r="H22" s="6" t="n">
        <v>371</v>
      </c>
      <c r="I22" s="7" t="inlineStr">
        <is>
          <t>Hợp lệ (In-control)</t>
        </is>
      </c>
      <c r="J22" s="7" t="inlineStr">
        <is>
          <t>Không cần can thiệp</t>
        </is>
      </c>
      <c r="K22" s="7" t="inlineStr">
        <is>
          <t>Đàm Minh Đức</t>
        </is>
      </c>
      <c r="L22" s="7" t="inlineStr">
        <is>
          <t>Máy Hóa sinh 1</t>
        </is>
      </c>
    </row>
    <row r="23">
      <c r="A23" s="11" t="n">
        <v>22</v>
      </c>
      <c r="B23" s="11" t="inlineStr">
        <is>
          <t>30/07/2026</t>
        </is>
      </c>
      <c r="C23" s="12" t="n">
        <v>5.54</v>
      </c>
      <c r="D23" s="12" t="n">
        <v>17.38</v>
      </c>
      <c r="E23" s="12" t="n">
        <v>6.45</v>
      </c>
      <c r="F23" s="12" t="n">
        <v>21.4</v>
      </c>
      <c r="G23" s="13" t="n">
        <v>93</v>
      </c>
      <c r="H23" s="13" t="n">
        <v>347</v>
      </c>
      <c r="I23" s="14" t="inlineStr">
        <is>
          <t>Vi phạm: UREA (Normal): Vi phạm (1-3s)</t>
        </is>
      </c>
      <c r="J23" s="14" t="inlineStr">
        <is>
          <t>Lập biên bản CAPA theo QĐ 2429</t>
        </is>
      </c>
      <c r="K23" s="15" t="inlineStr">
        <is>
          <t>Đàm Minh Đức</t>
        </is>
      </c>
      <c r="L23" s="15" t="inlineStr">
        <is>
          <t>Máy Hóa sinh 1</t>
        </is>
      </c>
    </row>
    <row r="24">
      <c r="A24" s="4" t="n">
        <v>23</v>
      </c>
      <c r="B24" s="4" t="inlineStr">
        <is>
          <t>31/07/2026</t>
        </is>
      </c>
      <c r="C24" s="5" t="n">
        <v>5.45</v>
      </c>
      <c r="D24" s="5" t="n">
        <v>17.43</v>
      </c>
      <c r="E24" s="5" t="n">
        <v>7.35</v>
      </c>
      <c r="F24" s="5" t="n">
        <v>22.9</v>
      </c>
      <c r="G24" s="6" t="n">
        <v>93</v>
      </c>
      <c r="H24" s="6" t="n">
        <v>364</v>
      </c>
      <c r="I24" s="7" t="inlineStr">
        <is>
          <t>Hợp lệ (In-control)</t>
        </is>
      </c>
      <c r="J24" s="7" t="inlineStr">
        <is>
          <t>Không cần can thiệp</t>
        </is>
      </c>
      <c r="K24" s="7" t="inlineStr">
        <is>
          <t>Đàm Minh Đức</t>
        </is>
      </c>
      <c r="L24" s="7" t="inlineStr">
        <is>
          <t>Máy Hóa sinh 1</t>
        </is>
      </c>
    </row>
    <row r="25">
      <c r="A25" s="4" t="n">
        <v>24</v>
      </c>
      <c r="B25" s="4" t="inlineStr">
        <is>
          <t>03/08/2026</t>
        </is>
      </c>
      <c r="C25" s="5" t="n">
        <v>5.49</v>
      </c>
      <c r="D25" s="5" t="n">
        <v>17.94</v>
      </c>
      <c r="E25" s="5" t="n">
        <v>7.1</v>
      </c>
      <c r="F25" s="5" t="n">
        <v>23.16</v>
      </c>
      <c r="G25" s="6" t="n">
        <v>96</v>
      </c>
      <c r="H25" s="6" t="n">
        <v>361.5</v>
      </c>
      <c r="I25" s="7" t="inlineStr">
        <is>
          <t>Hợp lệ (In-control)</t>
        </is>
      </c>
      <c r="J25" s="7" t="inlineStr">
        <is>
          <t>Không cần can thiệp</t>
        </is>
      </c>
      <c r="K25" s="7" t="inlineStr">
        <is>
          <t>Đàm Minh Đức</t>
        </is>
      </c>
      <c r="L25" s="7" t="inlineStr">
        <is>
          <t>Máy Hóa sinh 1</t>
        </is>
      </c>
    </row>
    <row r="26">
      <c r="A26" s="4" t="n">
        <v>25</v>
      </c>
      <c r="B26" s="4" t="inlineStr">
        <is>
          <t>04/08/2026</t>
        </is>
      </c>
      <c r="C26" s="5" t="n">
        <v>5.43</v>
      </c>
      <c r="D26" s="5" t="n">
        <v>17.45</v>
      </c>
      <c r="E26" s="5" t="n">
        <v>6.9</v>
      </c>
      <c r="F26" s="5" t="n">
        <v>24.6</v>
      </c>
      <c r="G26" s="6" t="n">
        <v>87.8</v>
      </c>
      <c r="H26" s="6" t="n">
        <v>375</v>
      </c>
      <c r="I26" s="7" t="inlineStr">
        <is>
          <t>Hợp lệ (In-control)</t>
        </is>
      </c>
      <c r="J26" s="7" t="inlineStr">
        <is>
          <t>Không cần can thiệp</t>
        </is>
      </c>
      <c r="K26" s="7" t="inlineStr">
        <is>
          <t>Đàm Minh Đức</t>
        </is>
      </c>
      <c r="L26" s="7" t="inlineStr">
        <is>
          <t>Máy Hóa sinh 1</t>
        </is>
      </c>
    </row>
    <row r="27">
      <c r="A27" s="4" t="n">
        <v>26</v>
      </c>
      <c r="B27" s="4" t="inlineStr">
        <is>
          <t>05/08/2026</t>
        </is>
      </c>
      <c r="C27" s="5" t="n">
        <v>5.41</v>
      </c>
      <c r="D27" s="5" t="n">
        <v>17.51</v>
      </c>
      <c r="E27" s="5" t="n">
        <v>7.04</v>
      </c>
      <c r="F27" s="5" t="n">
        <v>22.95</v>
      </c>
      <c r="G27" s="6" t="n">
        <v>95.3</v>
      </c>
      <c r="H27" s="6" t="n">
        <v>365.1</v>
      </c>
      <c r="I27" s="7" t="inlineStr">
        <is>
          <t>Hợp lệ (In-control)</t>
        </is>
      </c>
      <c r="J27" s="7" t="inlineStr">
        <is>
          <t>Không cần can thiệp</t>
        </is>
      </c>
      <c r="K27" s="7" t="inlineStr">
        <is>
          <t>Đàm Minh Đức</t>
        </is>
      </c>
      <c r="L27" s="7" t="inlineStr">
        <is>
          <t>Máy Hóa sinh 1</t>
        </is>
      </c>
    </row>
    <row r="28">
      <c r="A28" s="4" t="n">
        <v>27</v>
      </c>
      <c r="B28" s="4" t="inlineStr">
        <is>
          <t>06/08/2026</t>
        </is>
      </c>
      <c r="C28" s="5" t="n">
        <v>5.42</v>
      </c>
      <c r="D28" s="5" t="n">
        <v>17.57</v>
      </c>
      <c r="E28" s="5" t="n">
        <v>7.3</v>
      </c>
      <c r="F28" s="5" t="n">
        <v>23.9</v>
      </c>
      <c r="G28" s="6" t="n">
        <v>97</v>
      </c>
      <c r="H28" s="6" t="n">
        <v>355.1</v>
      </c>
      <c r="I28" s="7" t="inlineStr">
        <is>
          <t>Hợp lệ (In-control)</t>
        </is>
      </c>
      <c r="J28" s="7" t="inlineStr">
        <is>
          <t>Không cần can thiệp</t>
        </is>
      </c>
      <c r="K28" s="7" t="inlineStr">
        <is>
          <t>Đàm Minh Đức</t>
        </is>
      </c>
      <c r="L28" s="7" t="inlineStr">
        <is>
          <t>Máy Hóa sinh 1</t>
        </is>
      </c>
    </row>
    <row r="29">
      <c r="A29" s="4" t="n">
        <v>28</v>
      </c>
      <c r="B29" s="4" t="inlineStr">
        <is>
          <t>07/08/2026</t>
        </is>
      </c>
      <c r="C29" s="5" t="n">
        <v>5.53</v>
      </c>
      <c r="D29" s="5" t="n">
        <v>17.51</v>
      </c>
      <c r="E29" s="5" t="n">
        <v>6.87</v>
      </c>
      <c r="F29" s="5" t="n">
        <v>21</v>
      </c>
      <c r="G29" s="6" t="n">
        <v>93</v>
      </c>
      <c r="H29" s="6" t="n">
        <v>337</v>
      </c>
      <c r="I29" s="7" t="inlineStr">
        <is>
          <t>Hợp lệ (In-control)</t>
        </is>
      </c>
      <c r="J29" s="7" t="inlineStr">
        <is>
          <t>Không cần can thiệp</t>
        </is>
      </c>
      <c r="K29" s="7" t="inlineStr">
        <is>
          <t>Đàm Minh Đức</t>
        </is>
      </c>
      <c r="L29" s="7" t="inlineStr">
        <is>
          <t>Máy Hóa sinh 1</t>
        </is>
      </c>
    </row>
    <row r="30">
      <c r="A30" s="4" t="n">
        <v>29</v>
      </c>
      <c r="B30" s="4" t="inlineStr">
        <is>
          <t>10/08/2026</t>
        </is>
      </c>
      <c r="C30" s="5" t="n">
        <v>5.47</v>
      </c>
      <c r="D30" s="5" t="n">
        <v>17.74</v>
      </c>
      <c r="E30" s="5" t="n">
        <v>7.07</v>
      </c>
      <c r="F30" s="5" t="n">
        <v>24.7</v>
      </c>
      <c r="G30" s="6" t="n">
        <v>97.5</v>
      </c>
      <c r="H30" s="6" t="n">
        <v>358.2</v>
      </c>
      <c r="I30" s="7" t="inlineStr">
        <is>
          <t>Hợp lệ (In-control)</t>
        </is>
      </c>
      <c r="J30" s="7" t="inlineStr">
        <is>
          <t>Không cần can thiệp</t>
        </is>
      </c>
      <c r="K30" s="7" t="inlineStr">
        <is>
          <t>Đàm Minh Đức</t>
        </is>
      </c>
      <c r="L30" s="7" t="inlineStr">
        <is>
          <t>Máy Hóa sinh 1</t>
        </is>
      </c>
    </row>
    <row r="31">
      <c r="A31" s="4" t="n">
        <v>30</v>
      </c>
      <c r="B31" s="4" t="inlineStr">
        <is>
          <t>11/08/2026</t>
        </is>
      </c>
      <c r="C31" s="5" t="n">
        <v>5.58</v>
      </c>
      <c r="D31" s="5" t="n">
        <v>17.68</v>
      </c>
      <c r="E31" s="5" t="n">
        <v>7</v>
      </c>
      <c r="F31" s="5" t="n">
        <v>21.2</v>
      </c>
      <c r="G31" s="6" t="n">
        <v>94</v>
      </c>
      <c r="H31" s="6" t="n">
        <v>340</v>
      </c>
      <c r="I31" s="7" t="inlineStr">
        <is>
          <t>Hợp lệ (In-control)</t>
        </is>
      </c>
      <c r="J31" s="7" t="inlineStr">
        <is>
          <t>Không cần can thiệp</t>
        </is>
      </c>
      <c r="K31" s="7" t="inlineStr">
        <is>
          <t>Đàm Minh Đức</t>
        </is>
      </c>
      <c r="L31" s="7" t="inlineStr">
        <is>
          <t>Máy Hóa sinh 1</t>
        </is>
      </c>
    </row>
    <row r="32">
      <c r="A32" s="4" t="n">
        <v>31</v>
      </c>
      <c r="B32" s="4" t="inlineStr">
        <is>
          <t>12/08/2026</t>
        </is>
      </c>
      <c r="C32" s="5" t="n">
        <v>5.46</v>
      </c>
      <c r="D32" s="5" t="n">
        <v>17.9</v>
      </c>
      <c r="E32" s="5" t="n">
        <v>7.35</v>
      </c>
      <c r="F32" s="5" t="n">
        <v>20.7</v>
      </c>
      <c r="G32" s="6" t="n">
        <v>93</v>
      </c>
      <c r="H32" s="6" t="n">
        <v>364</v>
      </c>
      <c r="I32" s="7" t="inlineStr">
        <is>
          <t>Hợp lệ (In-control)</t>
        </is>
      </c>
      <c r="J32" s="7" t="inlineStr">
        <is>
          <t>Không cần can thiệp</t>
        </is>
      </c>
      <c r="K32" s="7" t="inlineStr">
        <is>
          <t>Đàm Minh Đức</t>
        </is>
      </c>
      <c r="L32" s="7" t="inlineStr">
        <is>
          <t>Máy Hóa sinh 1</t>
        </is>
      </c>
    </row>
    <row r="33">
      <c r="A33" s="4" t="n">
        <v>32</v>
      </c>
      <c r="B33" s="4" t="inlineStr">
        <is>
          <t>13/08/2026</t>
        </is>
      </c>
      <c r="C33" s="5" t="n">
        <v>5.51</v>
      </c>
      <c r="D33" s="5" t="n">
        <v>17.6</v>
      </c>
      <c r="E33" s="5" t="n">
        <v>6.8</v>
      </c>
      <c r="F33" s="5" t="n">
        <v>21.6</v>
      </c>
      <c r="G33" s="6" t="n">
        <v>95</v>
      </c>
      <c r="H33" s="6" t="n">
        <v>353</v>
      </c>
      <c r="I33" s="7" t="inlineStr">
        <is>
          <t>Hợp lệ (In-control)</t>
        </is>
      </c>
      <c r="J33" s="7" t="inlineStr">
        <is>
          <t>Không cần can thiệp</t>
        </is>
      </c>
      <c r="K33" s="7" t="inlineStr">
        <is>
          <t>Đàm Minh Đức</t>
        </is>
      </c>
      <c r="L33" s="7" t="inlineStr">
        <is>
          <t>Máy Hóa sinh 1</t>
        </is>
      </c>
    </row>
    <row r="34">
      <c r="A34" s="11" t="n">
        <v>33</v>
      </c>
      <c r="B34" s="11" t="inlineStr">
        <is>
          <t>14/08/2026</t>
        </is>
      </c>
      <c r="C34" s="12" t="n">
        <v>5.57</v>
      </c>
      <c r="D34" s="12" t="n">
        <v>17.25</v>
      </c>
      <c r="E34" s="12" t="n">
        <v>7.12</v>
      </c>
      <c r="F34" s="12" t="n">
        <v>22.84</v>
      </c>
      <c r="G34" s="13" t="n">
        <v>86</v>
      </c>
      <c r="H34" s="13" t="n">
        <v>363.5</v>
      </c>
      <c r="I34" s="14" t="inlineStr">
        <is>
          <t>Vi phạm: CREATININE (Normal): Vi phạm (1-3s)</t>
        </is>
      </c>
      <c r="J34" s="14" t="inlineStr">
        <is>
          <t>Lập biên bản CAPA theo QĐ 2429</t>
        </is>
      </c>
      <c r="K34" s="15" t="inlineStr">
        <is>
          <t>Đàm Minh Đức</t>
        </is>
      </c>
      <c r="L34" s="15" t="inlineStr">
        <is>
          <t>Máy Hóa sinh 1</t>
        </is>
      </c>
    </row>
    <row r="35">
      <c r="A35" s="4" t="n">
        <v>34</v>
      </c>
      <c r="B35" s="4" t="inlineStr">
        <is>
          <t>17/08/2026</t>
        </is>
      </c>
      <c r="C35" s="5" t="n">
        <v>5.61</v>
      </c>
      <c r="D35" s="5" t="n">
        <v>17.51</v>
      </c>
      <c r="E35" s="5" t="n">
        <v>7.01</v>
      </c>
      <c r="F35" s="5" t="n">
        <v>22.95</v>
      </c>
      <c r="G35" s="6" t="n">
        <v>92</v>
      </c>
      <c r="H35" s="6" t="n">
        <v>345.6</v>
      </c>
      <c r="I35" s="7" t="inlineStr">
        <is>
          <t>Hợp lệ (In-control)</t>
        </is>
      </c>
      <c r="J35" s="7" t="inlineStr">
        <is>
          <t>Không cần can thiệp</t>
        </is>
      </c>
      <c r="K35" s="7" t="inlineStr">
        <is>
          <t>Đàm Minh Đức</t>
        </is>
      </c>
      <c r="L35" s="7" t="inlineStr">
        <is>
          <t>Máy Hóa sinh 1</t>
        </is>
      </c>
    </row>
    <row r="36">
      <c r="A36" s="4" t="n">
        <v>35</v>
      </c>
      <c r="B36" s="4" t="inlineStr">
        <is>
          <t>18/08/2026</t>
        </is>
      </c>
      <c r="C36" s="5" t="n">
        <v>5.63</v>
      </c>
      <c r="D36" s="5" t="n">
        <v>17.35</v>
      </c>
      <c r="E36" s="5" t="n">
        <v>7.2</v>
      </c>
      <c r="F36" s="5" t="n">
        <v>22.1</v>
      </c>
      <c r="G36" s="6" t="n">
        <v>102</v>
      </c>
      <c r="H36" s="6" t="n">
        <v>361</v>
      </c>
      <c r="I36" s="7" t="inlineStr">
        <is>
          <t>Hợp lệ (In-control)</t>
        </is>
      </c>
      <c r="J36" s="7" t="inlineStr">
        <is>
          <t>Không cần can thiệp</t>
        </is>
      </c>
      <c r="K36" s="7" t="inlineStr">
        <is>
          <t>Đàm Minh Đức</t>
        </is>
      </c>
      <c r="L36" s="7" t="inlineStr">
        <is>
          <t>Máy Hóa sinh 1</t>
        </is>
      </c>
    </row>
    <row r="37">
      <c r="A37" s="4" t="n">
        <v>36</v>
      </c>
      <c r="B37" s="4" t="inlineStr">
        <is>
          <t>19/08/2026</t>
        </is>
      </c>
      <c r="C37" s="5" t="n">
        <v>5.51</v>
      </c>
      <c r="D37" s="5" t="n">
        <v>17.76</v>
      </c>
      <c r="E37" s="5" t="n">
        <v>7.3</v>
      </c>
      <c r="F37" s="5" t="n">
        <v>21.6</v>
      </c>
      <c r="G37" s="6" t="n">
        <v>98</v>
      </c>
      <c r="H37" s="6" t="n">
        <v>352</v>
      </c>
      <c r="I37" s="7" t="inlineStr">
        <is>
          <t>Hợp lệ (In-control)</t>
        </is>
      </c>
      <c r="J37" s="7" t="inlineStr">
        <is>
          <t>Không cần can thiệp</t>
        </is>
      </c>
      <c r="K37" s="7" t="inlineStr">
        <is>
          <t>Đàm Minh Đức</t>
        </is>
      </c>
      <c r="L37" s="7" t="inlineStr">
        <is>
          <t>Máy Hóa sinh 1</t>
        </is>
      </c>
    </row>
    <row r="38">
      <c r="A38" s="4" t="n">
        <v>37</v>
      </c>
      <c r="B38" s="4" t="inlineStr">
        <is>
          <t>20/08/2026</t>
        </is>
      </c>
      <c r="C38" s="5" t="n">
        <v>5.68</v>
      </c>
      <c r="D38" s="5" t="n">
        <v>17.28</v>
      </c>
      <c r="E38" s="5" t="n">
        <v>7</v>
      </c>
      <c r="F38" s="5" t="n">
        <v>24.6</v>
      </c>
      <c r="G38" s="6" t="n">
        <v>105</v>
      </c>
      <c r="H38" s="6" t="n">
        <v>340</v>
      </c>
      <c r="I38" s="7" t="inlineStr">
        <is>
          <t>Hợp lệ (In-control)</t>
        </is>
      </c>
      <c r="J38" s="7" t="inlineStr">
        <is>
          <t>Không cần can thiệp</t>
        </is>
      </c>
      <c r="K38" s="7" t="inlineStr">
        <is>
          <t>Đàm Minh Đức</t>
        </is>
      </c>
      <c r="L38" s="7" t="inlineStr">
        <is>
          <t>Máy Hóa sinh 1</t>
        </is>
      </c>
    </row>
    <row r="39">
      <c r="A39" s="4" t="n">
        <v>38</v>
      </c>
      <c r="B39" s="4" t="inlineStr">
        <is>
          <t>21/08/2026</t>
        </is>
      </c>
      <c r="C39" s="5" t="n">
        <v>5.45</v>
      </c>
      <c r="D39" s="5" t="n">
        <v>17.42</v>
      </c>
      <c r="E39" s="5" t="n">
        <v>7.18</v>
      </c>
      <c r="F39" s="5" t="n">
        <v>22.66</v>
      </c>
      <c r="G39" s="6" t="n">
        <v>93.5</v>
      </c>
      <c r="H39" s="6" t="n">
        <v>355.5</v>
      </c>
      <c r="I39" s="7" t="inlineStr">
        <is>
          <t>Hợp lệ (In-control)</t>
        </is>
      </c>
      <c r="J39" s="7" t="inlineStr">
        <is>
          <t>Không cần can thiệp</t>
        </is>
      </c>
      <c r="K39" s="7" t="inlineStr">
        <is>
          <t>Đàm Minh Đức</t>
        </is>
      </c>
      <c r="L39" s="7" t="inlineStr">
        <is>
          <t>Máy Hóa sinh 1</t>
        </is>
      </c>
    </row>
    <row r="40">
      <c r="A40" s="4" t="n">
        <v>39</v>
      </c>
      <c r="B40" s="4" t="inlineStr">
        <is>
          <t>24/08/2026</t>
        </is>
      </c>
      <c r="C40" s="5" t="n">
        <v>5.46</v>
      </c>
      <c r="D40" s="5" t="n">
        <v>17.6</v>
      </c>
      <c r="E40" s="5" t="n">
        <v>6.7</v>
      </c>
      <c r="F40" s="5" t="n">
        <v>23.16</v>
      </c>
      <c r="G40" s="6" t="n">
        <v>96.2</v>
      </c>
      <c r="H40" s="6" t="n">
        <v>362.2</v>
      </c>
      <c r="I40" s="7" t="inlineStr">
        <is>
          <t>Hợp lệ (In-control)</t>
        </is>
      </c>
      <c r="J40" s="7" t="inlineStr">
        <is>
          <t>Không cần can thiệp</t>
        </is>
      </c>
      <c r="K40" s="7" t="inlineStr">
        <is>
          <t>Đàm Minh Đức</t>
        </is>
      </c>
      <c r="L40" s="7" t="inlineStr">
        <is>
          <t>Máy Hóa sinh 1</t>
        </is>
      </c>
    </row>
    <row r="41">
      <c r="A41" s="4" t="n">
        <v>40</v>
      </c>
      <c r="B41" s="4" t="inlineStr">
        <is>
          <t>25/08/2026</t>
        </is>
      </c>
      <c r="C41" s="5" t="n">
        <v>5.56</v>
      </c>
      <c r="D41" s="5" t="n">
        <v>17.27</v>
      </c>
      <c r="E41" s="5" t="n">
        <v>7.2</v>
      </c>
      <c r="F41" s="5" t="n">
        <v>23.1</v>
      </c>
      <c r="G41" s="6" t="n">
        <v>90</v>
      </c>
      <c r="H41" s="6" t="n">
        <v>364</v>
      </c>
      <c r="I41" s="7" t="inlineStr">
        <is>
          <t>Hợp lệ (In-control)</t>
        </is>
      </c>
      <c r="J41" s="7" t="inlineStr">
        <is>
          <t>Không cần can thiệp</t>
        </is>
      </c>
      <c r="K41" s="7" t="inlineStr">
        <is>
          <t>Đàm Minh Đức</t>
        </is>
      </c>
      <c r="L41" s="7" t="inlineStr">
        <is>
          <t>Máy Hóa sinh 1</t>
        </is>
      </c>
    </row>
    <row r="42">
      <c r="A42" s="4" t="n">
        <v>41</v>
      </c>
      <c r="B42" s="4" t="inlineStr">
        <is>
          <t>26/08/2026</t>
        </is>
      </c>
      <c r="C42" s="5" t="n">
        <v>5.6</v>
      </c>
      <c r="D42" s="5" t="n">
        <v>17.29</v>
      </c>
      <c r="E42" s="5" t="n">
        <v>7.3</v>
      </c>
      <c r="F42" s="5" t="n">
        <v>21.6</v>
      </c>
      <c r="G42" s="6" t="n">
        <v>87</v>
      </c>
      <c r="H42" s="6" t="n">
        <v>353</v>
      </c>
      <c r="I42" s="7" t="inlineStr">
        <is>
          <t>Hợp lệ (In-control)</t>
        </is>
      </c>
      <c r="J42" s="7" t="inlineStr">
        <is>
          <t>Không cần can thiệp</t>
        </is>
      </c>
      <c r="K42" s="7" t="inlineStr">
        <is>
          <t>Đàm Minh Đức</t>
        </is>
      </c>
      <c r="L42" s="7" t="inlineStr">
        <is>
          <t>Máy Hóa sinh 1</t>
        </is>
      </c>
    </row>
    <row r="43">
      <c r="A43" s="4" t="n">
        <v>42</v>
      </c>
      <c r="B43" s="4" t="inlineStr">
        <is>
          <t>27/08/2026</t>
        </is>
      </c>
      <c r="C43" s="5" t="n">
        <v>5.5</v>
      </c>
      <c r="D43" s="5" t="n">
        <v>17.66</v>
      </c>
      <c r="E43" s="5" t="n">
        <v>7.4</v>
      </c>
      <c r="F43" s="5" t="n">
        <v>22.5</v>
      </c>
      <c r="G43" s="6" t="n">
        <v>95</v>
      </c>
      <c r="H43" s="6" t="n">
        <v>324</v>
      </c>
      <c r="I43" s="7" t="inlineStr">
        <is>
          <t>Hợp lệ (In-control)</t>
        </is>
      </c>
      <c r="J43" s="7" t="inlineStr">
        <is>
          <t>Không cần can thiệp</t>
        </is>
      </c>
      <c r="K43" s="7" t="inlineStr">
        <is>
          <t>Đàm Minh Đức</t>
        </is>
      </c>
      <c r="L43" s="7" t="inlineStr">
        <is>
          <t>Máy Hóa sinh 1</t>
        </is>
      </c>
    </row>
    <row r="44">
      <c r="A44" s="4" t="n">
        <v>43</v>
      </c>
      <c r="B44" s="4" t="inlineStr">
        <is>
          <t>28/08/2026</t>
        </is>
      </c>
      <c r="C44" s="5" t="n">
        <v>5.8</v>
      </c>
      <c r="D44" s="5" t="n">
        <v>17.28</v>
      </c>
      <c r="E44" s="5" t="n">
        <v>6.9</v>
      </c>
      <c r="F44" s="5" t="n">
        <v>23.4</v>
      </c>
      <c r="G44" s="6" t="n">
        <v>97</v>
      </c>
      <c r="H44" s="6" t="n">
        <v>346.2</v>
      </c>
      <c r="I44" s="7" t="inlineStr">
        <is>
          <t>Hợp lệ (In-control)</t>
        </is>
      </c>
      <c r="J44" s="7" t="inlineStr">
        <is>
          <t>Không cần can thiệp</t>
        </is>
      </c>
      <c r="K44" s="7" t="inlineStr">
        <is>
          <t>Đàm Minh Đức</t>
        </is>
      </c>
      <c r="L44" s="7" t="inlineStr">
        <is>
          <t>Máy Hóa sinh 1</t>
        </is>
      </c>
    </row>
    <row r="45">
      <c r="A45" s="4" t="n">
        <v>44</v>
      </c>
      <c r="B45" s="4" t="inlineStr">
        <is>
          <t>31/08/2026</t>
        </is>
      </c>
      <c r="C45" s="5" t="n">
        <v>5.61</v>
      </c>
      <c r="D45" s="5" t="n">
        <v>17.52</v>
      </c>
      <c r="E45" s="5" t="n">
        <v>7.1</v>
      </c>
      <c r="F45" s="5" t="n">
        <v>22.75</v>
      </c>
      <c r="G45" s="6" t="n">
        <v>93.5</v>
      </c>
      <c r="H45" s="6" t="n">
        <v>351.1</v>
      </c>
      <c r="I45" s="7" t="inlineStr">
        <is>
          <t>Hợp lệ (In-control)</t>
        </is>
      </c>
      <c r="J45" s="7" t="inlineStr">
        <is>
          <t>Không cần can thiệp</t>
        </is>
      </c>
      <c r="K45" s="7" t="inlineStr">
        <is>
          <t>Đàm Minh Đức</t>
        </is>
      </c>
      <c r="L45" s="7" t="inlineStr">
        <is>
          <t>Máy Hóa sinh 1</t>
        </is>
      </c>
    </row>
    <row r="46">
      <c r="A46" s="16" t="n"/>
      <c r="B46" s="17" t="inlineStr">
        <is>
          <t>Trung bình (AVERAGE / Mean)</t>
        </is>
      </c>
      <c r="C46" s="18">
        <f>AVERAGE(C2:C45)</f>
        <v/>
      </c>
      <c r="D46" s="18">
        <f>AVERAGE(D2:D45)</f>
        <v/>
      </c>
      <c r="E46" s="18">
        <f>AVERAGE(E2:E45)</f>
        <v/>
      </c>
      <c r="F46" s="18">
        <f>AVERAGE(F2:F45)</f>
        <v/>
      </c>
      <c r="G46" s="18">
        <f>AVERAGE(G2:G45)</f>
        <v/>
      </c>
      <c r="H46" s="18">
        <f>AVERAGE(H2:H45)</f>
        <v/>
      </c>
      <c r="I46" s="16" t="n"/>
      <c r="J46" s="16" t="n"/>
      <c r="K46" s="16" t="n"/>
      <c r="L46" s="16" t="n"/>
    </row>
    <row r="47">
      <c r="A47" s="16" t="n"/>
      <c r="B47" s="17" t="inlineStr">
        <is>
          <t>Độ lệch chuẩn (STDEV / SD)</t>
        </is>
      </c>
      <c r="C47" s="18">
        <f>STDEV.S(C2:C45)</f>
        <v/>
      </c>
      <c r="D47" s="18">
        <f>STDEV.S(D2:D45)</f>
        <v/>
      </c>
      <c r="E47" s="18">
        <f>STDEV.S(E2:E45)</f>
        <v/>
      </c>
      <c r="F47" s="18">
        <f>STDEV.S(F2:F45)</f>
        <v/>
      </c>
      <c r="G47" s="18">
        <f>STDEV.S(G2:G45)</f>
        <v/>
      </c>
      <c r="H47" s="18">
        <f>STDEV.S(H2:H45)</f>
        <v/>
      </c>
      <c r="I47" s="16" t="n"/>
      <c r="J47" s="16" t="n"/>
      <c r="K47" s="16" t="n"/>
      <c r="L47" s="16" t="n"/>
    </row>
    <row r="48">
      <c r="A48" s="19" t="n"/>
      <c r="B48" s="20" t="inlineStr">
        <is>
          <t>Hệ số biến thiên (CV%)</t>
        </is>
      </c>
      <c r="C48" s="21">
        <f>(C47/C46)*100</f>
        <v/>
      </c>
      <c r="D48" s="21">
        <f>(D47/D46)*100</f>
        <v/>
      </c>
      <c r="E48" s="21">
        <f>(E47/E46)*100</f>
        <v/>
      </c>
      <c r="F48" s="21">
        <f>(F47/F46)*100</f>
        <v/>
      </c>
      <c r="G48" s="21">
        <f>(G47/G46)*100</f>
        <v/>
      </c>
      <c r="H48" s="21">
        <f>(H47/H46)*100</f>
        <v/>
      </c>
      <c r="I48" s="19" t="n"/>
      <c r="J48" s="19" t="n"/>
      <c r="K48" s="19" t="n"/>
      <c r="L48" s="19" t="n"/>
    </row>
  </sheetData>
  <mergeCells count="6">
    <mergeCell ref="Z1:AB1"/>
    <mergeCell ref="AC1:AE1"/>
    <mergeCell ref="T1:V1"/>
    <mergeCell ref="W1:Y1"/>
    <mergeCell ref="N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68" customWidth="1" min="1" max="1"/>
    <col width="11" customWidth="1" min="2" max="2"/>
    <col width="11" customWidth="1" min="3" max="3"/>
    <col width="17" customWidth="1" min="4" max="4"/>
    <col width="11" customWidth="1" min="5" max="5"/>
    <col width="11" customWidth="1" min="6" max="6"/>
    <col width="16" customWidth="1" min="7" max="7"/>
    <col width="11" customWidth="1" min="8" max="8"/>
    <col width="11" customWidth="1" min="9" max="9"/>
    <col width="14" customWidth="1" min="10" max="10"/>
    <col width="11" customWidth="1" min="11" max="11"/>
    <col width="11" customWidth="1" min="12" max="12"/>
    <col width="21" customWidth="1" min="13" max="13"/>
    <col width="11" customWidth="1" min="14" max="14"/>
    <col width="11" customWidth="1" min="15" max="15"/>
    <col width="19" customWidth="1" min="16" max="16"/>
    <col width="11" customWidth="1" min="17" max="17"/>
    <col width="11" customWidth="1" min="18" max="18"/>
  </cols>
  <sheetData>
    <row r="1">
      <c r="A1" s="22" t="inlineStr">
        <is>
          <t>BẢNG TỔNG HỢP CHỈ SỐ THỐNG KÊ QC - GIAI ĐOẠN 2 (THÁNG 7 &amp; 8/2026)</t>
        </is>
      </c>
    </row>
    <row r="2">
      <c r="A2" s="23" t="inlineStr">
        <is>
          <t>Khoa Xét nghiệm &amp; Chẩn đoán hình ảnh — Bệnh viện Y học Cổ truyền</t>
        </is>
      </c>
    </row>
    <row r="3"/>
    <row r="4">
      <c r="A4" s="2" t="inlineStr">
        <is>
          <t>Glucose – Normal</t>
        </is>
      </c>
      <c r="B4" s="3" t="n"/>
      <c r="C4" s="3" t="n"/>
      <c r="D4" s="2" t="inlineStr">
        <is>
          <t>Glucose – High</t>
        </is>
      </c>
      <c r="E4" s="3" t="n"/>
      <c r="F4" s="3" t="n"/>
      <c r="G4" s="2" t="inlineStr">
        <is>
          <t>Urea – Normal</t>
        </is>
      </c>
      <c r="H4" s="3" t="n"/>
      <c r="I4" s="3" t="n"/>
      <c r="J4" s="2" t="inlineStr">
        <is>
          <t>Urea – High</t>
        </is>
      </c>
      <c r="K4" s="3" t="n"/>
      <c r="L4" s="3" t="n"/>
      <c r="M4" s="2" t="inlineStr">
        <is>
          <t>Creatinin – Normal</t>
        </is>
      </c>
      <c r="N4" s="3" t="n"/>
      <c r="O4" s="3" t="n"/>
      <c r="P4" s="2" t="inlineStr">
        <is>
          <t>Creatinin – High</t>
        </is>
      </c>
      <c r="Q4" s="3" t="n"/>
      <c r="R4" s="3" t="n"/>
    </row>
    <row r="5">
      <c r="A5" s="2" t="inlineStr">
        <is>
          <t>Mean</t>
        </is>
      </c>
      <c r="B5" s="2" t="inlineStr">
        <is>
          <t>SD</t>
        </is>
      </c>
      <c r="C5" s="2" t="inlineStr">
        <is>
          <t>CV%</t>
        </is>
      </c>
      <c r="D5" s="2" t="inlineStr">
        <is>
          <t>Mean</t>
        </is>
      </c>
      <c r="E5" s="2" t="inlineStr">
        <is>
          <t>SD</t>
        </is>
      </c>
      <c r="F5" s="2" t="inlineStr">
        <is>
          <t>CV%</t>
        </is>
      </c>
      <c r="G5" s="2" t="inlineStr">
        <is>
          <t>Mean</t>
        </is>
      </c>
      <c r="H5" s="2" t="inlineStr">
        <is>
          <t>SD</t>
        </is>
      </c>
      <c r="I5" s="2" t="inlineStr">
        <is>
          <t>CV%</t>
        </is>
      </c>
      <c r="J5" s="2" t="inlineStr">
        <is>
          <t>Mean</t>
        </is>
      </c>
      <c r="K5" s="2" t="inlineStr">
        <is>
          <t>SD</t>
        </is>
      </c>
      <c r="L5" s="2" t="inlineStr">
        <is>
          <t>CV%</t>
        </is>
      </c>
      <c r="M5" s="2" t="inlineStr">
        <is>
          <t>Mean</t>
        </is>
      </c>
      <c r="N5" s="2" t="inlineStr">
        <is>
          <t>SD</t>
        </is>
      </c>
      <c r="O5" s="2" t="inlineStr">
        <is>
          <t>CV%</t>
        </is>
      </c>
      <c r="P5" s="2" t="inlineStr">
        <is>
          <t>Mean</t>
        </is>
      </c>
      <c r="Q5" s="2" t="inlineStr">
        <is>
          <t>SD</t>
        </is>
      </c>
      <c r="R5" s="2" t="inlineStr">
        <is>
          <t>CV%</t>
        </is>
      </c>
    </row>
    <row r="6">
      <c r="A6" s="24">
        <f>AVERAGE(Du_Lieu_QC!C2:C45)</f>
        <v/>
      </c>
      <c r="B6" s="24">
        <f>STDEV.S(Du_Lieu_QC!C2:C45)</f>
        <v/>
      </c>
      <c r="C6" s="25">
        <f>(B6/A6)*100</f>
        <v/>
      </c>
      <c r="D6" s="24">
        <f>AVERAGE(Du_Lieu_QC!D2:D45)</f>
        <v/>
      </c>
      <c r="E6" s="24">
        <f>STDEV.S(Du_Lieu_QC!D2:D45)</f>
        <v/>
      </c>
      <c r="F6" s="25">
        <f>(E6/D6)*100</f>
        <v/>
      </c>
      <c r="G6" s="24">
        <f>AVERAGE(Du_Lieu_QC!E2:E45)</f>
        <v/>
      </c>
      <c r="H6" s="24">
        <f>STDEV.S(Du_Lieu_QC!E2:E45)</f>
        <v/>
      </c>
      <c r="I6" s="25">
        <f>(H6/G6)*100</f>
        <v/>
      </c>
      <c r="J6" s="24">
        <f>AVERAGE(Du_Lieu_QC!F2:F45)</f>
        <v/>
      </c>
      <c r="K6" s="24">
        <f>STDEV.S(Du_Lieu_QC!F2:F45)</f>
        <v/>
      </c>
      <c r="L6" s="25">
        <f>(K6/J6)*100</f>
        <v/>
      </c>
      <c r="M6" s="24">
        <f>AVERAGE(Du_Lieu_QC!G2:G45)</f>
        <v/>
      </c>
      <c r="N6" s="24">
        <f>STDEV.S(Du_Lieu_QC!G2:G45)</f>
        <v/>
      </c>
      <c r="O6" s="25">
        <f>(N6/M6)*100</f>
        <v/>
      </c>
      <c r="P6" s="24">
        <f>AVERAGE(Du_Lieu_QC!H2:H45)</f>
        <v/>
      </c>
      <c r="Q6" s="24">
        <f>STDEV.S(Du_Lieu_QC!H2:H45)</f>
        <v/>
      </c>
      <c r="R6" s="25">
        <f>(Q6/P6)*100</f>
        <v/>
      </c>
    </row>
  </sheetData>
  <mergeCells count="6">
    <mergeCell ref="M4:O4"/>
    <mergeCell ref="D4:F4"/>
    <mergeCell ref="G4:I4"/>
    <mergeCell ref="J4:L4"/>
    <mergeCell ref="A4:C4"/>
    <mergeCell ref="P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2026-10-23T07:29:57Z</dcterms:created>
  <dcterms:modified xmlns:dcterms="http://purl.org/dc/terms/" xmlns:xsi="http://www.w3.org/2001/XMLSchema-instance" xsi:type="dcterms:W3CDTF">2026-10-23T07:29:57Z</dcterms:modified>
</cp:coreProperties>
</file>